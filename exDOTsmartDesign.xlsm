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mini\Documents\22\1_Статьи\seBPM\ST2_Smart\"/>
    </mc:Choice>
  </mc:AlternateContent>
  <bookViews>
    <workbookView xWindow="0" yWindow="0" windowWidth="26115" windowHeight="10185"/>
  </bookViews>
  <sheets>
    <sheet name="Процесс" sheetId="1" r:id="rId1"/>
    <sheet name="Справочник" sheetId="4" r:id="rId2"/>
    <sheet name="Set" sheetId="3" r:id="rId3"/>
    <sheet name="help" sheetId="2" r:id="rId4"/>
    <sheet name="StEnd" sheetId="6" r:id="rId5"/>
    <sheet name="DOTstyle" sheetId="7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0" i="1" l="1"/>
  <c r="P19" i="1"/>
  <c r="P18" i="1"/>
  <c r="P17" i="1"/>
  <c r="P16" i="1"/>
  <c r="P15" i="1"/>
  <c r="P14" i="1"/>
  <c r="P13" i="1"/>
  <c r="P12" i="1"/>
  <c r="P11" i="1"/>
  <c r="P5" i="1"/>
  <c r="P4" i="1"/>
  <c r="P3" i="1"/>
  <c r="M20" i="1"/>
  <c r="M19" i="1"/>
  <c r="M18" i="1"/>
  <c r="M17" i="1"/>
  <c r="M16" i="1"/>
  <c r="M15" i="1"/>
  <c r="M14" i="1"/>
  <c r="M13" i="1"/>
  <c r="M12" i="1"/>
  <c r="M11" i="1"/>
  <c r="M5" i="1"/>
  <c r="M4" i="1"/>
  <c r="M3" i="1"/>
  <c r="J20" i="1"/>
  <c r="J19" i="1"/>
  <c r="J18" i="1"/>
  <c r="J17" i="1"/>
  <c r="J16" i="1"/>
  <c r="J15" i="1"/>
  <c r="J14" i="1"/>
  <c r="J13" i="1"/>
  <c r="J12" i="1"/>
  <c r="J11" i="1"/>
  <c r="J5" i="1"/>
  <c r="J4" i="1"/>
  <c r="J3" i="1"/>
  <c r="F5" i="1"/>
  <c r="F4" i="1"/>
  <c r="F3" i="1"/>
  <c r="F13" i="1" l="1"/>
  <c r="F12" i="1"/>
  <c r="F11" i="1"/>
  <c r="F20" i="1"/>
  <c r="F19" i="1"/>
  <c r="F18" i="1"/>
  <c r="F17" i="1"/>
  <c r="F16" i="1"/>
  <c r="F15" i="1"/>
  <c r="F14" i="1"/>
</calcChain>
</file>

<file path=xl/sharedStrings.xml><?xml version="1.0" encoding="utf-8"?>
<sst xmlns="http://schemas.openxmlformats.org/spreadsheetml/2006/main" count="207" uniqueCount="157">
  <si>
    <t>idEvFun</t>
  </si>
  <si>
    <t>nLinkWF</t>
  </si>
  <si>
    <t>labelEvFun</t>
  </si>
  <si>
    <t>Входящий документ</t>
  </si>
  <si>
    <t>idHasInDoc</t>
  </si>
  <si>
    <t>labelHasOutDoc</t>
  </si>
  <si>
    <t>idHasOutDoc</t>
  </si>
  <si>
    <t>id события \ функции</t>
  </si>
  <si>
    <t>Исходящий документ</t>
  </si>
  <si>
    <t>labelRole</t>
  </si>
  <si>
    <t>idRole</t>
  </si>
  <si>
    <t>idSystem</t>
  </si>
  <si>
    <t>labelSystem</t>
  </si>
  <si>
    <t>hbEvent</t>
  </si>
  <si>
    <t>hbFunction</t>
  </si>
  <si>
    <t>событие</t>
  </si>
  <si>
    <t>операция</t>
  </si>
  <si>
    <t>Доверитель</t>
  </si>
  <si>
    <t>Нотариус</t>
  </si>
  <si>
    <t>Доверенность шаблон</t>
  </si>
  <si>
    <t>Доверенность распечатанная</t>
  </si>
  <si>
    <t>Доверенность подписанная</t>
  </si>
  <si>
    <t>Доверенность заверенная</t>
  </si>
  <si>
    <t>Список_Типов</t>
  </si>
  <si>
    <t>Список_Ролей</t>
  </si>
  <si>
    <t>Список_Документов</t>
  </si>
  <si>
    <t>Список_Систем</t>
  </si>
  <si>
    <t>digraph G {</t>
  </si>
  <si>
    <t>}</t>
  </si>
  <si>
    <t>C:\Temp\file.txt</t>
  </si>
  <si>
    <t>C:\Temp\fileUTF.txt</t>
  </si>
  <si>
    <t>C:\Program Files\Graphviz\bin\graphviz.exe</t>
  </si>
  <si>
    <t>D:\graphviz\bin\dot.exe</t>
  </si>
  <si>
    <t>C:\Temp\graph1.png</t>
  </si>
  <si>
    <t>label события \ функции</t>
  </si>
  <si>
    <t>labelHasInDoc</t>
  </si>
  <si>
    <t>nameHasInDoc</t>
  </si>
  <si>
    <t>nameHasOutDoc</t>
  </si>
  <si>
    <t>nameRole</t>
  </si>
  <si>
    <t>label Список_Ролей</t>
  </si>
  <si>
    <t>id Список_Ролей</t>
  </si>
  <si>
    <t>nameSystem</t>
  </si>
  <si>
    <t>label Список_Систем</t>
  </si>
  <si>
    <t>id Список_Систем</t>
  </si>
  <si>
    <t>Введение</t>
  </si>
  <si>
    <t>Настройки</t>
  </si>
  <si>
    <t>Описание работы</t>
  </si>
  <si>
    <t>Разработка</t>
  </si>
  <si>
    <t>FAQ</t>
  </si>
  <si>
    <t>dot.exe</t>
  </si>
  <si>
    <t>Примеры</t>
  </si>
  <si>
    <t>Запуск dot.exe</t>
  </si>
  <si>
    <t>Path</t>
  </si>
  <si>
    <t>Рисунок алгоритма</t>
  </si>
  <si>
    <t>Список_Режимов</t>
  </si>
  <si>
    <t>Алгоритм</t>
  </si>
  <si>
    <t>5.1</t>
  </si>
  <si>
    <t xml:space="preserve">Задание типов </t>
  </si>
  <si>
    <t xml:space="preserve">Иницировать каждый элемент из справочников, встретившихся в таблице связей  </t>
  </si>
  <si>
    <t>vba excel перебор элементов умной таблицы</t>
  </si>
  <si>
    <t>https://vremya-ne-zhdet.ru/vba-excel/rabota-s-umnoy-tablitsey/?ysclid=luk5jx1qtg906103618</t>
  </si>
  <si>
    <t>Кнопки</t>
  </si>
  <si>
    <t>5.2</t>
  </si>
  <si>
    <t>1 Установить режим "простой"</t>
  </si>
  <si>
    <t>2 Задать значения справочникам</t>
  </si>
  <si>
    <t>3 Задачть значения в таблице связей</t>
  </si>
  <si>
    <t>Умные таблицы. Список</t>
  </si>
  <si>
    <t>Умные таблицы. Задать</t>
  </si>
  <si>
    <r>
      <t xml:space="preserve">1 </t>
    </r>
    <r>
      <rPr>
        <b/>
        <sz val="11"/>
        <color theme="1"/>
        <rFont val="Calibri"/>
        <family val="2"/>
        <charset val="204"/>
        <scheme val="minor"/>
      </rPr>
      <t>Создать умную таблицу</t>
    </r>
    <r>
      <rPr>
        <sz val="11"/>
        <color theme="1"/>
        <rFont val="Calibri"/>
        <family val="2"/>
        <charset val="204"/>
        <scheme val="minor"/>
      </rPr>
      <t>. Выделить диапазон, Главная \ Форматировать как таблицу. Рез: выделенный диапазон станет умной таблицей</t>
    </r>
  </si>
  <si>
    <r>
      <t xml:space="preserve">2 </t>
    </r>
    <r>
      <rPr>
        <b/>
        <sz val="11"/>
        <color theme="1"/>
        <rFont val="Calibri"/>
        <family val="2"/>
        <charset val="204"/>
        <scheme val="minor"/>
      </rPr>
      <t>Задать Имя таблицы.</t>
    </r>
    <r>
      <rPr>
        <sz val="11"/>
        <color theme="1"/>
        <rFont val="Calibri"/>
        <family val="2"/>
        <charset val="204"/>
        <scheme val="minor"/>
      </rPr>
      <t xml:space="preserve"> Формулы \ Диспетчер имен – Изменить – нужно вписать новое название таблицы (такое же как шапке на листе Процесс)</t>
    </r>
  </si>
  <si>
    <r>
      <rPr>
        <b/>
        <sz val="11"/>
        <color theme="1"/>
        <rFont val="Calibri"/>
        <family val="2"/>
        <charset val="204"/>
        <scheme val="minor"/>
      </rPr>
      <t>3 Привязать к диапазону</t>
    </r>
    <r>
      <rPr>
        <sz val="11"/>
        <color theme="1"/>
        <rFont val="Calibri"/>
        <family val="2"/>
        <charset val="204"/>
        <scheme val="minor"/>
      </rPr>
      <t xml:space="preserve"> на листе Процесс нужную умную таблицу: Данные \ проверка данных \ список</t>
    </r>
  </si>
  <si>
    <r>
      <rPr>
        <b/>
        <sz val="11"/>
        <color theme="1"/>
        <rFont val="Calibri"/>
        <family val="2"/>
        <charset val="204"/>
        <scheme val="minor"/>
      </rPr>
      <t xml:space="preserve">4 Удаление таблицы </t>
    </r>
    <r>
      <rPr>
        <sz val="11"/>
        <color theme="1"/>
        <rFont val="Calibri"/>
        <family val="2"/>
        <charset val="204"/>
        <scheme val="minor"/>
      </rPr>
      <t>(если что-то не так): встали на таблицы: левая кнопка мыши \ Таблица \ Преобразовать в диапазон.</t>
    </r>
  </si>
  <si>
    <t>Начальное событие</t>
  </si>
  <si>
    <t>Заполнение и печать доверенности</t>
  </si>
  <si>
    <t>id Входящий документ</t>
  </si>
  <si>
    <t>label Входящего документа</t>
  </si>
  <si>
    <t>label Исходящего документа</t>
  </si>
  <si>
    <t>id Исходящий документ</t>
  </si>
  <si>
    <t>Проверка и подписание доверенности</t>
  </si>
  <si>
    <t>Проверка и заверение доверенности</t>
  </si>
  <si>
    <t>EPC (start)</t>
  </si>
  <si>
    <t>EPC (end)</t>
  </si>
  <si>
    <t>VAD (start)</t>
  </si>
  <si>
    <t>VAD  (end)</t>
  </si>
  <si>
    <t>[shape="hexagon",style="filled",fillcolor="hotpink",label="</t>
  </si>
  <si>
    <t>epc</t>
  </si>
  <si>
    <t>[style="filled",fillcolor="yellow",label="</t>
  </si>
  <si>
    <t>[shape="note",style="filled",fillcolor="gray90",label="</t>
  </si>
  <si>
    <t>линии</t>
  </si>
  <si>
    <t>фигуры</t>
  </si>
  <si>
    <t>Элементы:</t>
  </si>
  <si>
    <t>workflow</t>
  </si>
  <si>
    <t>https://graphviz.org/docs/attrs/weight/</t>
  </si>
  <si>
    <t>weight</t>
  </si>
  <si>
    <t>[style="bold",tailport=s,headport=n,weight=3];</t>
  </si>
  <si>
    <t>HasInDoc</t>
  </si>
  <si>
    <t>HasOutDoc</t>
  </si>
  <si>
    <t>Role</t>
  </si>
  <si>
    <t>[style="solid",tailport=w,headport=e,arrowhead=none,weight=30];</t>
  </si>
  <si>
    <t>[style="solid",tailport=s,headport=e,arrowhead=none,weight=30];</t>
  </si>
  <si>
    <t>[shape="box",width=1.5,style="rounded,filled",fillcolor="green",label="</t>
  </si>
  <si>
    <t>[style="solid",tailport=e,headport=w,arrowhead=none,weight=2];</t>
  </si>
  <si>
    <t>epc epc_role</t>
  </si>
  <si>
    <t>[style="dashed",tailport=s,headport=wn,weight=1];</t>
  </si>
  <si>
    <t>[style="dashed",tailport=w,headport=n,weight=1];</t>
  </si>
  <si>
    <t>Помощник нотариуса</t>
  </si>
  <si>
    <t>"Главная" → "Стили" → "Условное форматирование" → "Создать правило" → "Использовать формулу для определения форматируемых ячеек":  =$D3="событие"</t>
  </si>
  <si>
    <t>MS Word</t>
  </si>
  <si>
    <t>Сеть Internet</t>
  </si>
  <si>
    <t>[shape="box3d",style="filled",fillcolor="aqua",label="</t>
  </si>
  <si>
    <t>https://graphviz.org/doc/info/colors.html</t>
  </si>
  <si>
    <t>книжка</t>
  </si>
  <si>
    <t>Список_Типов (fixTypeEvFun)</t>
  </si>
  <si>
    <t>EPC</t>
  </si>
  <si>
    <t>VAD</t>
  </si>
  <si>
    <t>Режим Простой</t>
  </si>
  <si>
    <t>Список_Нотаций</t>
  </si>
  <si>
    <t>Список_ХХ</t>
  </si>
  <si>
    <t>Х1</t>
  </si>
  <si>
    <t>Х2</t>
  </si>
  <si>
    <t>номер (idWF)</t>
  </si>
  <si>
    <t>vad</t>
  </si>
  <si>
    <r>
      <t>rankdir</t>
    </r>
    <r>
      <rPr>
        <sz val="11"/>
        <color rgb="FF4D5156"/>
        <rFont val="Arial"/>
        <family val="2"/>
        <charset val="204"/>
      </rPr>
      <t>="LR"</t>
    </r>
  </si>
  <si>
    <t>[shape="note",style="filled",fillcolor="WhiteSmoke",label="</t>
  </si>
  <si>
    <t>[shape="cds",width=1.5,style="filled",fillcolor="lightgreen",label="</t>
  </si>
  <si>
    <t>[shape="point",fixedsize=true,height=0.03,width=0.03,style="filled",fillcolor="black",label="</t>
  </si>
  <si>
    <t>[style="bold",tailport=e,headport=w,weight=3]</t>
  </si>
  <si>
    <t>[style="dashed",tailport=e,headport=n,weight=1]</t>
  </si>
  <si>
    <t>[style="dashed",tailport=en,headport=w,weight=1]</t>
  </si>
  <si>
    <t>[style="solid",tailport=s,headport=n,arrowhead=none,weight=2]</t>
  </si>
  <si>
    <t>Режим Ветвление</t>
  </si>
  <si>
    <t>Предшедствующий (predWF)</t>
  </si>
  <si>
    <t>epc2</t>
  </si>
  <si>
    <t>[style="dashed",tailport=s,headport=w,weight=1];</t>
  </si>
  <si>
    <t>EPC2 (start)</t>
  </si>
  <si>
    <t>EPC2 (end)</t>
  </si>
  <si>
    <t>EPC2</t>
  </si>
  <si>
    <t>EPC3</t>
  </si>
  <si>
    <t>обычная с углами при docflow</t>
  </si>
  <si>
    <t>обычная без углов при docflow</t>
  </si>
  <si>
    <t>роли показаны один раз</t>
  </si>
  <si>
    <t>EPC3 (start)</t>
  </si>
  <si>
    <t>EPC3 (end)</t>
  </si>
  <si>
    <t>epc3</t>
  </si>
  <si>
    <t>Копия заверенная</t>
  </si>
  <si>
    <t>когда переход workflow идет далеко "вверх", то схема теряет структу "сверху - вниз"</t>
  </si>
  <si>
    <t>цвет по условию</t>
  </si>
  <si>
    <t>цвета dot</t>
  </si>
  <si>
    <t>https://fdocuments.in/document/graphviz-tutorial.html</t>
  </si>
  <si>
    <t xml:space="preserve">Возможные проблемы: </t>
  </si>
  <si>
    <t xml:space="preserve">стрлбец predWF (пердшедствующий) объявлен как строка, но иногда вычисляется как цифра ,например, startRow + xx </t>
  </si>
  <si>
    <t>Чем "тяжелее" вес, тем короче, прямее и вертикальнее край</t>
  </si>
  <si>
    <t>Call DelayMs(700)</t>
  </si>
  <si>
    <t>если перерисовка рисунка не всегда стабильна, то увеличить (700)</t>
  </si>
  <si>
    <t>Финальное событие</t>
  </si>
  <si>
    <t>Линия у Системы такая же как и у Роли. Также не ставим rank</t>
  </si>
  <si>
    <t>Имя события или функции (nameEvFun)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</si>
</sst>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  <font>
      <sz val="11"/>
      <color theme="8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.5"/>
      <color theme="1"/>
      <name val="Courier New"/>
      <family val="3"/>
      <charset val="204"/>
    </font>
    <font>
      <sz val="11"/>
      <color rgb="FF4D5156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4" fillId="0" borderId="0" xfId="0" applyFont="1" applyBorder="1"/>
    <xf numFmtId="0" fontId="0" fillId="0" borderId="2" xfId="0" applyBorder="1"/>
    <xf numFmtId="0" fontId="5" fillId="0" borderId="0" xfId="0" applyFont="1"/>
    <xf numFmtId="0" fontId="5" fillId="0" borderId="3" xfId="0" applyFont="1" applyBorder="1"/>
    <xf numFmtId="0" fontId="0" fillId="0" borderId="4" xfId="0" applyBorder="1"/>
    <xf numFmtId="0" fontId="5" fillId="0" borderId="5" xfId="0" applyFont="1" applyBorder="1"/>
    <xf numFmtId="0" fontId="0" fillId="0" borderId="6" xfId="0" applyBorder="1"/>
    <xf numFmtId="0" fontId="5" fillId="0" borderId="6" xfId="0" applyFont="1" applyBorder="1"/>
    <xf numFmtId="0" fontId="5" fillId="0" borderId="7" xfId="0" applyFont="1" applyBorder="1"/>
    <xf numFmtId="0" fontId="0" fillId="0" borderId="8" xfId="0" applyBorder="1"/>
    <xf numFmtId="0" fontId="0" fillId="0" borderId="9" xfId="0" applyBorder="1"/>
    <xf numFmtId="49" fontId="0" fillId="0" borderId="0" xfId="0" applyNumberFormat="1"/>
    <xf numFmtId="0" fontId="0" fillId="0" borderId="0" xfId="0" applyAlignment="1">
      <alignment vertical="center"/>
    </xf>
    <xf numFmtId="0" fontId="1" fillId="0" borderId="0" xfId="0" applyFont="1" applyBorder="1"/>
    <xf numFmtId="0" fontId="7" fillId="0" borderId="0" xfId="0" applyFont="1"/>
    <xf numFmtId="0" fontId="0" fillId="0" borderId="0" xfId="0" applyFont="1"/>
    <xf numFmtId="0" fontId="3" fillId="3" borderId="10" xfId="0" applyFont="1" applyFill="1" applyBorder="1"/>
    <xf numFmtId="0" fontId="3" fillId="3" borderId="11" xfId="0" applyFont="1" applyFill="1" applyBorder="1"/>
    <xf numFmtId="0" fontId="4" fillId="0" borderId="12" xfId="0" applyFont="1" applyBorder="1"/>
    <xf numFmtId="0" fontId="0" fillId="0" borderId="12" xfId="0" applyBorder="1"/>
    <xf numFmtId="0" fontId="3" fillId="0" borderId="12" xfId="0" applyFont="1" applyBorder="1"/>
    <xf numFmtId="0" fontId="4" fillId="0" borderId="13" xfId="0" applyFont="1" applyBorder="1"/>
    <xf numFmtId="0" fontId="4" fillId="0" borderId="14" xfId="0" applyFont="1" applyBorder="1"/>
    <xf numFmtId="0" fontId="3" fillId="0" borderId="15" xfId="0" applyFont="1" applyBorder="1"/>
    <xf numFmtId="0" fontId="0" fillId="0" borderId="17" xfId="0" applyBorder="1"/>
    <xf numFmtId="0" fontId="3" fillId="0" borderId="16" xfId="0" applyFont="1" applyBorder="1"/>
    <xf numFmtId="0" fontId="3" fillId="0" borderId="17" xfId="0" applyFont="1" applyBorder="1"/>
    <xf numFmtId="0" fontId="6" fillId="0" borderId="17" xfId="0" applyFont="1" applyBorder="1"/>
    <xf numFmtId="0" fontId="3" fillId="0" borderId="18" xfId="0" applyFont="1" applyBorder="1"/>
  </cellXfs>
  <cellStyles count="1">
    <cellStyle name="Обычный" xfId="0" builtinId="0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border outline="0"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</dxf>
    <dxf>
      <border outline="0"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C:\Temp\graph1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</xdr:row>
      <xdr:rowOff>0</xdr:rowOff>
    </xdr:from>
    <xdr:to>
      <xdr:col>3</xdr:col>
      <xdr:colOff>600075</xdr:colOff>
      <xdr:row>1</xdr:row>
      <xdr:rowOff>219075</xdr:rowOff>
    </xdr:to>
    <xdr:sp macro="[0]!main1" textlink="">
      <xdr:nvSpPr>
        <xdr:cNvPr id="25" name="TextBox 24"/>
        <xdr:cNvSpPr txBox="1"/>
      </xdr:nvSpPr>
      <xdr:spPr>
        <a:xfrm>
          <a:off x="1752600" y="485775"/>
          <a:ext cx="561975" cy="2190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 baseline="0"/>
            <a:t>Схема</a:t>
          </a:r>
          <a:endParaRPr lang="ru-RU" sz="1100" b="1"/>
        </a:p>
      </xdr:txBody>
    </xdr:sp>
    <xdr:clientData/>
  </xdr:twoCellAnchor>
  <xdr:twoCellAnchor>
    <xdr:from>
      <xdr:col>4</xdr:col>
      <xdr:colOff>9525</xdr:colOff>
      <xdr:row>1</xdr:row>
      <xdr:rowOff>4763</xdr:rowOff>
    </xdr:from>
    <xdr:to>
      <xdr:col>4</xdr:col>
      <xdr:colOff>1209675</xdr:colOff>
      <xdr:row>1</xdr:row>
      <xdr:rowOff>242888</xdr:rowOff>
    </xdr:to>
    <xdr:sp macro="[0]!Prim1" textlink="">
      <xdr:nvSpPr>
        <xdr:cNvPr id="11" name="TextBox 10"/>
        <xdr:cNvSpPr txBox="1"/>
      </xdr:nvSpPr>
      <xdr:spPr>
        <a:xfrm>
          <a:off x="2095500" y="233363"/>
          <a:ext cx="1200150" cy="2381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Пример</a:t>
          </a:r>
          <a:r>
            <a:rPr lang="en-US" sz="1100" baseline="0"/>
            <a:t> </a:t>
          </a:r>
          <a:r>
            <a:rPr lang="ru-RU" sz="1100" baseline="0"/>
            <a:t>Простой</a:t>
          </a:r>
          <a:endParaRPr lang="ru-RU" sz="1100"/>
        </a:p>
      </xdr:txBody>
    </xdr:sp>
    <xdr:clientData/>
  </xdr:twoCellAnchor>
  <xdr:twoCellAnchor>
    <xdr:from>
      <xdr:col>4</xdr:col>
      <xdr:colOff>2362200</xdr:colOff>
      <xdr:row>1</xdr:row>
      <xdr:rowOff>9524</xdr:rowOff>
    </xdr:from>
    <xdr:to>
      <xdr:col>4</xdr:col>
      <xdr:colOff>2819400</xdr:colOff>
      <xdr:row>1</xdr:row>
      <xdr:rowOff>238125</xdr:rowOff>
    </xdr:to>
    <xdr:sp macro="[0]!ClaerTabRelation" textlink="">
      <xdr:nvSpPr>
        <xdr:cNvPr id="30" name="TextBox 29"/>
        <xdr:cNvSpPr txBox="1"/>
      </xdr:nvSpPr>
      <xdr:spPr>
        <a:xfrm>
          <a:off x="4448175" y="238124"/>
          <a:ext cx="457200" cy="22860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aseline="0"/>
            <a:t>Clear</a:t>
          </a:r>
          <a:endParaRPr lang="ru-RU" sz="1000"/>
        </a:p>
      </xdr:txBody>
    </xdr:sp>
    <xdr:clientData/>
  </xdr:twoCellAnchor>
  <xdr:twoCellAnchor>
    <xdr:from>
      <xdr:col>4</xdr:col>
      <xdr:colOff>1223962</xdr:colOff>
      <xdr:row>1</xdr:row>
      <xdr:rowOff>4762</xdr:rowOff>
    </xdr:from>
    <xdr:to>
      <xdr:col>4</xdr:col>
      <xdr:colOff>2343150</xdr:colOff>
      <xdr:row>1</xdr:row>
      <xdr:rowOff>242887</xdr:rowOff>
    </xdr:to>
    <xdr:sp macro="[0]!Prim2" textlink="">
      <xdr:nvSpPr>
        <xdr:cNvPr id="26" name="TextBox 25"/>
        <xdr:cNvSpPr txBox="1"/>
      </xdr:nvSpPr>
      <xdr:spPr>
        <a:xfrm>
          <a:off x="3309937" y="233362"/>
          <a:ext cx="1119188" cy="2381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Пример</a:t>
          </a:r>
          <a:r>
            <a:rPr lang="ru-RU" sz="1100" baseline="0"/>
            <a:t> Сложн.</a:t>
          </a:r>
          <a:endParaRPr lang="ru-RU" sz="1100"/>
        </a:p>
      </xdr:txBody>
    </xdr:sp>
    <xdr:clientData/>
  </xdr:twoCellAnchor>
  <xdr:twoCellAnchor editAs="oneCell">
    <xdr:from>
      <xdr:col>0</xdr:col>
      <xdr:colOff>0</xdr:colOff>
      <xdr:row>20</xdr:row>
      <xdr:rowOff>0</xdr:rowOff>
    </xdr:from>
    <xdr:to>
      <xdr:col>11</xdr:col>
      <xdr:colOff>19050</xdr:colOff>
      <xdr:row>61</xdr:row>
      <xdr:rowOff>161925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143375"/>
          <a:ext cx="4895850" cy="79724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Список_Ролей" displayName="Список_Ролей" ref="F1:F4" totalsRowShown="0" headerRowDxfId="9" tableBorderDxfId="8">
  <autoFilter ref="F1:F4"/>
  <tableColumns count="1">
    <tableColumn id="1" name="Список_Ролей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7" name="Список_Документов" displayName="Список_Документов" ref="E1:E6" totalsRowShown="0">
  <autoFilter ref="E1:E6"/>
  <tableColumns count="1">
    <tableColumn id="1" name="Список_Документов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1" name="Список_Типов" displayName="Список_Типов" ref="B1:B3" totalsRowShown="0" headerRowDxfId="7" tableBorderDxfId="6">
  <autoFilter ref="B1:B3"/>
  <tableColumns count="1">
    <tableColumn id="1" name="Список_Типов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2" name="Список_Систем" displayName="Список_Систем" ref="G1:G3" totalsRowShown="0">
  <autoFilter ref="G1:G3"/>
  <tableColumns count="1">
    <tableColumn id="1" name="Список_Систем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3" name="Список_Режимов" displayName="Список_Режимов" ref="H1:H3" totalsRowShown="0">
  <autoFilter ref="H1:H3"/>
  <tableColumns count="1">
    <tableColumn id="1" name="Список_Режимов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4" name="Список_Нотаций" displayName="Список_Нотаций" ref="I1:I5" totalsRowShown="0">
  <autoFilter ref="I1:I5"/>
  <tableColumns count="1">
    <tableColumn id="1" name="Список_Нотаций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T20"/>
  <sheetViews>
    <sheetView tabSelected="1" topLeftCell="C1" zoomScaleNormal="100" workbookViewId="0">
      <pane ySplit="2" topLeftCell="A3" activePane="bottomLeft" state="frozen"/>
      <selection activeCell="B1" sqref="B1"/>
      <selection pane="bottomLeft" activeCell="C21" sqref="C21"/>
    </sheetView>
  </sheetViews>
  <sheetFormatPr defaultRowHeight="15" x14ac:dyDescent="0.25"/>
  <cols>
    <col min="1" max="1" width="11.140625" hidden="1" customWidth="1"/>
    <col min="2" max="2" width="14.42578125" hidden="1" customWidth="1"/>
    <col min="3" max="3" width="20.28515625" hidden="1" customWidth="1"/>
    <col min="4" max="4" width="11" customWidth="1"/>
    <col min="5" max="5" width="42.42578125" customWidth="1"/>
    <col min="6" max="6" width="39.85546875" hidden="1" customWidth="1"/>
    <col min="7" max="7" width="16" hidden="1" customWidth="1"/>
    <col min="8" max="8" width="3" hidden="1" customWidth="1"/>
    <col min="9" max="9" width="19.7109375" customWidth="1"/>
    <col min="10" max="10" width="21.42578125" hidden="1" customWidth="1"/>
    <col min="11" max="11" width="4.28515625" hidden="1" customWidth="1"/>
    <col min="12" max="12" width="23" customWidth="1"/>
    <col min="13" max="13" width="12" hidden="1" customWidth="1"/>
    <col min="14" max="14" width="5.7109375" hidden="1" customWidth="1"/>
    <col min="15" max="15" width="16.5703125" customWidth="1"/>
    <col min="16" max="16" width="7" hidden="1" customWidth="1"/>
    <col min="17" max="17" width="5.7109375" hidden="1" customWidth="1"/>
    <col min="18" max="18" width="13.5703125" customWidth="1"/>
    <col min="19" max="19" width="10" hidden="1" customWidth="1"/>
    <col min="20" max="20" width="10.140625" hidden="1" customWidth="1"/>
  </cols>
  <sheetData>
    <row r="1" spans="1:20" ht="18" customHeight="1" x14ac:dyDescent="0.25">
      <c r="A1" s="4"/>
      <c r="B1" s="4"/>
      <c r="C1" s="4"/>
      <c r="D1" s="22" t="s">
        <v>113</v>
      </c>
      <c r="E1" s="23" t="s">
        <v>115</v>
      </c>
      <c r="F1" s="24" t="s">
        <v>0</v>
      </c>
      <c r="G1" s="24" t="s">
        <v>2</v>
      </c>
      <c r="H1" s="25" t="s">
        <v>1</v>
      </c>
      <c r="I1" s="26" t="s">
        <v>36</v>
      </c>
      <c r="J1" s="24" t="s">
        <v>4</v>
      </c>
      <c r="K1" s="24" t="s">
        <v>35</v>
      </c>
      <c r="L1" s="26" t="s">
        <v>37</v>
      </c>
      <c r="M1" s="24" t="s">
        <v>6</v>
      </c>
      <c r="N1" s="24" t="s">
        <v>5</v>
      </c>
      <c r="O1" s="5" t="s">
        <v>38</v>
      </c>
      <c r="P1" s="27" t="s">
        <v>10</v>
      </c>
      <c r="Q1" s="28" t="s">
        <v>9</v>
      </c>
      <c r="R1" s="29" t="s">
        <v>41</v>
      </c>
      <c r="S1" s="6" t="s">
        <v>11</v>
      </c>
      <c r="T1" s="6" t="s">
        <v>12</v>
      </c>
    </row>
    <row r="2" spans="1:20" ht="38.25" customHeight="1" thickBot="1" x14ac:dyDescent="0.3">
      <c r="A2" s="7"/>
      <c r="B2" s="7" t="s">
        <v>120</v>
      </c>
      <c r="C2" s="7" t="s">
        <v>131</v>
      </c>
      <c r="D2" s="31" t="s">
        <v>112</v>
      </c>
      <c r="E2" s="32" t="s">
        <v>156</v>
      </c>
      <c r="F2" s="30" t="s">
        <v>7</v>
      </c>
      <c r="G2" s="30" t="s">
        <v>34</v>
      </c>
      <c r="H2" s="30"/>
      <c r="I2" s="32" t="s">
        <v>3</v>
      </c>
      <c r="J2" s="33" t="s">
        <v>74</v>
      </c>
      <c r="K2" s="30" t="s">
        <v>75</v>
      </c>
      <c r="L2" s="32" t="s">
        <v>8</v>
      </c>
      <c r="M2" s="30" t="s">
        <v>77</v>
      </c>
      <c r="N2" s="30" t="s">
        <v>76</v>
      </c>
      <c r="O2" s="32" t="s">
        <v>24</v>
      </c>
      <c r="P2" s="30" t="s">
        <v>40</v>
      </c>
      <c r="Q2" s="30" t="s">
        <v>39</v>
      </c>
      <c r="R2" s="34" t="s">
        <v>26</v>
      </c>
      <c r="S2" s="7" t="s">
        <v>43</v>
      </c>
      <c r="T2" s="7" t="s">
        <v>42</v>
      </c>
    </row>
    <row r="3" spans="1:20" x14ac:dyDescent="0.25">
      <c r="C3" s="17"/>
      <c r="D3" t="s">
        <v>15</v>
      </c>
      <c r="E3" t="s">
        <v>72</v>
      </c>
      <c r="F3" s="18" t="str">
        <f t="shared" ref="F3:F20" si="0">SUBSTITUTE(E3," ","_")</f>
        <v>Начальное_событие</v>
      </c>
      <c r="J3" s="18" t="str">
        <f t="shared" ref="J3:J20" si="1">SUBSTITUTE(I3," ","_")</f>
        <v/>
      </c>
      <c r="M3" s="18" t="str">
        <f t="shared" ref="M3:M20" si="2">SUBSTITUTE(L3," ","_")</f>
        <v/>
      </c>
      <c r="P3" s="18" t="str">
        <f t="shared" ref="P3:P20" si="3">SUBSTITUTE(O3," ","_")</f>
        <v/>
      </c>
    </row>
    <row r="4" spans="1:20" x14ac:dyDescent="0.25">
      <c r="C4" s="17"/>
      <c r="D4" t="s">
        <v>16</v>
      </c>
      <c r="E4" t="s">
        <v>73</v>
      </c>
      <c r="F4" s="18" t="str">
        <f t="shared" si="0"/>
        <v>Заполнение_и_печать_доверенности</v>
      </c>
      <c r="I4" t="s">
        <v>19</v>
      </c>
      <c r="J4" s="18" t="str">
        <f t="shared" si="1"/>
        <v>Доверенность_шаблон</v>
      </c>
      <c r="L4" t="s">
        <v>20</v>
      </c>
      <c r="M4" s="18" t="str">
        <f t="shared" si="2"/>
        <v>Доверенность_распечатанная</v>
      </c>
      <c r="O4" t="s">
        <v>105</v>
      </c>
      <c r="P4" s="18" t="str">
        <f t="shared" si="3"/>
        <v>Помощник_нотариуса</v>
      </c>
    </row>
    <row r="5" spans="1:20" x14ac:dyDescent="0.25">
      <c r="C5" s="17"/>
      <c r="D5" t="s">
        <v>16</v>
      </c>
      <c r="E5" t="s">
        <v>78</v>
      </c>
      <c r="F5" s="18" t="str">
        <f t="shared" si="0"/>
        <v>Проверка_и_подписание_доверенности</v>
      </c>
      <c r="I5" t="s">
        <v>20</v>
      </c>
      <c r="J5" s="18" t="str">
        <f t="shared" si="1"/>
        <v>Доверенность_распечатанная</v>
      </c>
      <c r="L5" t="s">
        <v>21</v>
      </c>
      <c r="M5" s="18" t="str">
        <f t="shared" si="2"/>
        <v>Доверенность_подписанная</v>
      </c>
      <c r="O5" t="s">
        <v>17</v>
      </c>
      <c r="P5" s="18" t="str">
        <f t="shared" si="3"/>
        <v>Доверитель</v>
      </c>
    </row>
    <row r="6" spans="1:20" x14ac:dyDescent="0.25">
      <c r="C6" s="17"/>
      <c r="D6" t="s">
        <v>16</v>
      </c>
      <c r="E6" t="s">
        <v>79</v>
      </c>
      <c r="F6" s="18"/>
      <c r="I6" t="s">
        <v>21</v>
      </c>
      <c r="J6" s="18"/>
      <c r="L6" t="s">
        <v>22</v>
      </c>
      <c r="M6" s="18"/>
      <c r="O6" t="s">
        <v>18</v>
      </c>
      <c r="P6" s="18"/>
    </row>
    <row r="7" spans="1:20" x14ac:dyDescent="0.25">
      <c r="C7" s="17"/>
      <c r="D7" t="s">
        <v>15</v>
      </c>
      <c r="E7" t="s">
        <v>154</v>
      </c>
      <c r="F7" s="18"/>
      <c r="J7" s="18"/>
      <c r="M7" s="18"/>
      <c r="P7" s="18"/>
    </row>
    <row r="8" spans="1:20" x14ac:dyDescent="0.25">
      <c r="C8" s="17"/>
      <c r="F8" s="18"/>
      <c r="J8" s="18"/>
      <c r="M8" s="18"/>
      <c r="P8" s="18"/>
    </row>
    <row r="9" spans="1:20" x14ac:dyDescent="0.25">
      <c r="C9" s="17"/>
      <c r="F9" s="18"/>
      <c r="J9" s="18"/>
      <c r="M9" s="18"/>
      <c r="P9" s="18"/>
    </row>
    <row r="10" spans="1:20" x14ac:dyDescent="0.25">
      <c r="C10" s="17"/>
      <c r="F10" s="18"/>
      <c r="J10" s="18"/>
      <c r="M10" s="18"/>
      <c r="P10" s="18"/>
    </row>
    <row r="11" spans="1:20" x14ac:dyDescent="0.25">
      <c r="C11" s="17"/>
      <c r="F11" s="18" t="str">
        <f t="shared" si="0"/>
        <v/>
      </c>
      <c r="J11" s="18" t="str">
        <f t="shared" si="1"/>
        <v/>
      </c>
      <c r="M11" s="18" t="str">
        <f t="shared" si="2"/>
        <v/>
      </c>
      <c r="P11" s="18" t="str">
        <f t="shared" si="3"/>
        <v/>
      </c>
    </row>
    <row r="12" spans="1:20" x14ac:dyDescent="0.25">
      <c r="C12" s="17"/>
      <c r="F12" s="18" t="str">
        <f t="shared" si="0"/>
        <v/>
      </c>
      <c r="J12" s="18" t="str">
        <f t="shared" si="1"/>
        <v/>
      </c>
      <c r="M12" s="18" t="str">
        <f t="shared" si="2"/>
        <v/>
      </c>
      <c r="P12" s="18" t="str">
        <f t="shared" si="3"/>
        <v/>
      </c>
    </row>
    <row r="13" spans="1:20" x14ac:dyDescent="0.25">
      <c r="C13" s="17"/>
      <c r="F13" s="18" t="str">
        <f t="shared" si="0"/>
        <v/>
      </c>
      <c r="J13" s="18" t="str">
        <f t="shared" si="1"/>
        <v/>
      </c>
      <c r="M13" s="18" t="str">
        <f t="shared" si="2"/>
        <v/>
      </c>
      <c r="P13" s="18" t="str">
        <f t="shared" si="3"/>
        <v/>
      </c>
    </row>
    <row r="14" spans="1:20" x14ac:dyDescent="0.25">
      <c r="C14" s="17"/>
      <c r="F14" s="18" t="str">
        <f t="shared" si="0"/>
        <v/>
      </c>
      <c r="J14" s="18" t="str">
        <f t="shared" si="1"/>
        <v/>
      </c>
      <c r="M14" s="18" t="str">
        <f t="shared" si="2"/>
        <v/>
      </c>
      <c r="P14" s="18" t="str">
        <f t="shared" si="3"/>
        <v/>
      </c>
    </row>
    <row r="15" spans="1:20" x14ac:dyDescent="0.25">
      <c r="C15" s="17"/>
      <c r="F15" s="18" t="str">
        <f t="shared" si="0"/>
        <v/>
      </c>
      <c r="J15" s="18" t="str">
        <f t="shared" si="1"/>
        <v/>
      </c>
      <c r="M15" s="18" t="str">
        <f t="shared" si="2"/>
        <v/>
      </c>
      <c r="P15" s="18" t="str">
        <f t="shared" si="3"/>
        <v/>
      </c>
    </row>
    <row r="16" spans="1:20" x14ac:dyDescent="0.25">
      <c r="C16" s="17"/>
      <c r="F16" s="18" t="str">
        <f t="shared" si="0"/>
        <v/>
      </c>
      <c r="J16" s="18" t="str">
        <f t="shared" si="1"/>
        <v/>
      </c>
      <c r="M16" s="18" t="str">
        <f t="shared" si="2"/>
        <v/>
      </c>
      <c r="P16" s="18" t="str">
        <f t="shared" si="3"/>
        <v/>
      </c>
    </row>
    <row r="17" spans="3:16" x14ac:dyDescent="0.25">
      <c r="C17" s="17"/>
      <c r="F17" s="18" t="str">
        <f t="shared" si="0"/>
        <v/>
      </c>
      <c r="J17" s="18" t="str">
        <f t="shared" si="1"/>
        <v/>
      </c>
      <c r="M17" s="18" t="str">
        <f t="shared" si="2"/>
        <v/>
      </c>
      <c r="P17" s="18" t="str">
        <f t="shared" si="3"/>
        <v/>
      </c>
    </row>
    <row r="18" spans="3:16" x14ac:dyDescent="0.25">
      <c r="C18" s="17"/>
      <c r="F18" s="18" t="str">
        <f t="shared" si="0"/>
        <v/>
      </c>
      <c r="J18" s="18" t="str">
        <f t="shared" si="1"/>
        <v/>
      </c>
      <c r="M18" s="18" t="str">
        <f t="shared" si="2"/>
        <v/>
      </c>
      <c r="P18" s="18" t="str">
        <f t="shared" si="3"/>
        <v/>
      </c>
    </row>
    <row r="19" spans="3:16" x14ac:dyDescent="0.25">
      <c r="C19" s="17"/>
      <c r="F19" s="18" t="str">
        <f t="shared" si="0"/>
        <v/>
      </c>
      <c r="J19" s="18" t="str">
        <f t="shared" si="1"/>
        <v/>
      </c>
      <c r="M19" s="18" t="str">
        <f t="shared" si="2"/>
        <v/>
      </c>
      <c r="P19" s="18" t="str">
        <f t="shared" si="3"/>
        <v/>
      </c>
    </row>
    <row r="20" spans="3:16" x14ac:dyDescent="0.25">
      <c r="C20" s="17"/>
      <c r="F20" s="18" t="str">
        <f t="shared" si="0"/>
        <v/>
      </c>
      <c r="J20" s="18" t="str">
        <f t="shared" si="1"/>
        <v/>
      </c>
      <c r="M20" s="18" t="str">
        <f t="shared" si="2"/>
        <v/>
      </c>
      <c r="P20" s="18" t="str">
        <f t="shared" si="3"/>
        <v/>
      </c>
    </row>
  </sheetData>
  <conditionalFormatting sqref="E3:E20">
    <cfRule type="expression" dxfId="5" priority="6">
      <formula>$D3="операция"</formula>
    </cfRule>
    <cfRule type="expression" dxfId="4" priority="7">
      <formula>$D3="событие"</formula>
    </cfRule>
  </conditionalFormatting>
  <conditionalFormatting sqref="D3">
    <cfRule type="containsText" dxfId="3" priority="3" operator="containsText" text="операция">
      <formula>NOT(ISERROR(SEARCH("операция",D3)))</formula>
    </cfRule>
    <cfRule type="cellIs" dxfId="2" priority="5" operator="equal">
      <formula>"событие"</formula>
    </cfRule>
  </conditionalFormatting>
  <conditionalFormatting sqref="D4:D20">
    <cfRule type="containsText" dxfId="1" priority="1" operator="containsText" text="операция">
      <formula>NOT(ISERROR(SEARCH("операция",D4)))</formula>
    </cfRule>
    <cfRule type="cellIs" dxfId="0" priority="2" operator="equal">
      <formula>"событие"</formula>
    </cfRule>
  </conditionalFormatting>
  <dataValidations count="6">
    <dataValidation type="list" allowBlank="1" showInputMessage="1" showErrorMessage="1" sqref="D3:D20">
      <formula1>INDIRECT("Список_Типов[Список_Типов]")</formula1>
    </dataValidation>
    <dataValidation type="list" allowBlank="1" showInputMessage="1" showErrorMessage="1" sqref="I3:I20 L3:L20">
      <formula1>INDIRECT("Список_Документов[Список_Документов]")</formula1>
    </dataValidation>
    <dataValidation type="list" allowBlank="1" showInputMessage="1" showErrorMessage="1" sqref="O3:O20">
      <formula1>INDIRECT("Список_Ролей[Список_Ролей]")</formula1>
    </dataValidation>
    <dataValidation type="list" allowBlank="1" showInputMessage="1" showErrorMessage="1" sqref="R3:R20">
      <formula1>INDIRECT("Список_Систем[Список_Систем]")</formula1>
    </dataValidation>
    <dataValidation type="list" allowBlank="1" showInputMessage="1" showErrorMessage="1" sqref="D1">
      <formula1>INDIRECT("Список_Нотаций[Список_Нотаций]")</formula1>
    </dataValidation>
    <dataValidation type="list" allowBlank="1" showInputMessage="1" showErrorMessage="1" sqref="E1">
      <formula1>INDIRECT("Список_Режимов[Список_Режимов]")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6"/>
  <sheetViews>
    <sheetView workbookViewId="0">
      <pane ySplit="1" topLeftCell="A2" activePane="bottomLeft" state="frozen"/>
      <selection pane="bottomLeft" activeCell="F11" sqref="F11"/>
    </sheetView>
  </sheetViews>
  <sheetFormatPr defaultRowHeight="15" x14ac:dyDescent="0.25"/>
  <cols>
    <col min="1" max="1" width="17.7109375" customWidth="1"/>
    <col min="2" max="2" width="16" customWidth="1"/>
    <col min="3" max="3" width="11.5703125" customWidth="1"/>
    <col min="4" max="4" width="15.42578125" customWidth="1"/>
    <col min="5" max="5" width="29" customWidth="1"/>
    <col min="6" max="6" width="20.28515625" customWidth="1"/>
    <col min="7" max="7" width="17.140625" customWidth="1"/>
    <col min="8" max="8" width="18.5703125" customWidth="1"/>
    <col min="9" max="9" width="18.28515625" customWidth="1"/>
    <col min="10" max="10" width="12.7109375" customWidth="1"/>
  </cols>
  <sheetData>
    <row r="1" spans="1:10" ht="26.25" customHeight="1" x14ac:dyDescent="0.25">
      <c r="A1" t="s">
        <v>117</v>
      </c>
      <c r="B1" s="3" t="s">
        <v>23</v>
      </c>
      <c r="C1" t="s">
        <v>13</v>
      </c>
      <c r="D1" t="s">
        <v>14</v>
      </c>
      <c r="E1" t="s">
        <v>25</v>
      </c>
      <c r="F1" s="3" t="s">
        <v>24</v>
      </c>
      <c r="G1" t="s">
        <v>26</v>
      </c>
      <c r="H1" t="s">
        <v>54</v>
      </c>
      <c r="I1" t="s">
        <v>116</v>
      </c>
    </row>
    <row r="2" spans="1:10" x14ac:dyDescent="0.25">
      <c r="A2" t="s">
        <v>118</v>
      </c>
      <c r="B2" s="2" t="s">
        <v>15</v>
      </c>
      <c r="E2" t="s">
        <v>19</v>
      </c>
      <c r="F2" s="1" t="s">
        <v>105</v>
      </c>
      <c r="G2" t="s">
        <v>107</v>
      </c>
      <c r="H2" t="s">
        <v>115</v>
      </c>
      <c r="I2" t="s">
        <v>113</v>
      </c>
      <c r="J2" t="s">
        <v>138</v>
      </c>
    </row>
    <row r="3" spans="1:10" x14ac:dyDescent="0.25">
      <c r="A3" t="s">
        <v>119</v>
      </c>
      <c r="B3" s="19" t="s">
        <v>16</v>
      </c>
      <c r="E3" t="s">
        <v>20</v>
      </c>
      <c r="F3" t="s">
        <v>17</v>
      </c>
      <c r="G3" t="s">
        <v>108</v>
      </c>
      <c r="H3" t="s">
        <v>130</v>
      </c>
      <c r="I3" t="s">
        <v>114</v>
      </c>
    </row>
    <row r="4" spans="1:10" x14ac:dyDescent="0.25">
      <c r="E4" t="s">
        <v>21</v>
      </c>
      <c r="F4" t="s">
        <v>18</v>
      </c>
      <c r="I4" t="s">
        <v>136</v>
      </c>
      <c r="J4" t="s">
        <v>139</v>
      </c>
    </row>
    <row r="5" spans="1:10" x14ac:dyDescent="0.25">
      <c r="E5" t="s">
        <v>22</v>
      </c>
      <c r="I5" t="s">
        <v>137</v>
      </c>
      <c r="J5" t="s">
        <v>140</v>
      </c>
    </row>
    <row r="6" spans="1:10" x14ac:dyDescent="0.25">
      <c r="E6" t="s">
        <v>144</v>
      </c>
    </row>
  </sheetData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10"/>
  <sheetViews>
    <sheetView workbookViewId="0">
      <selection activeCell="D21" sqref="D21"/>
    </sheetView>
  </sheetViews>
  <sheetFormatPr defaultRowHeight="15" x14ac:dyDescent="0.25"/>
  <cols>
    <col min="1" max="1" width="19.7109375" customWidth="1"/>
    <col min="2" max="2" width="25.42578125" customWidth="1"/>
    <col min="3" max="3" width="31.42578125" customWidth="1"/>
    <col min="4" max="4" width="24.42578125" customWidth="1"/>
  </cols>
  <sheetData>
    <row r="1" spans="1:4" x14ac:dyDescent="0.25">
      <c r="A1" s="9"/>
      <c r="B1" t="s">
        <v>85</v>
      </c>
      <c r="C1" t="s">
        <v>102</v>
      </c>
    </row>
    <row r="2" spans="1:4" x14ac:dyDescent="0.25">
      <c r="A2" s="10"/>
    </row>
    <row r="3" spans="1:4" x14ac:dyDescent="0.25">
      <c r="A3" s="11" t="s">
        <v>52</v>
      </c>
      <c r="B3" s="12"/>
      <c r="C3" s="13" t="s">
        <v>51</v>
      </c>
      <c r="D3" s="14" t="s">
        <v>53</v>
      </c>
    </row>
    <row r="4" spans="1:4" x14ac:dyDescent="0.25">
      <c r="A4" s="15" t="s">
        <v>29</v>
      </c>
      <c r="B4" s="7" t="s">
        <v>30</v>
      </c>
      <c r="C4" s="7" t="s">
        <v>49</v>
      </c>
      <c r="D4" s="16" t="s">
        <v>33</v>
      </c>
    </row>
    <row r="7" spans="1:4" x14ac:dyDescent="0.25">
      <c r="C7" t="s">
        <v>50</v>
      </c>
    </row>
    <row r="8" spans="1:4" x14ac:dyDescent="0.25">
      <c r="C8" t="s">
        <v>49</v>
      </c>
    </row>
    <row r="9" spans="1:4" x14ac:dyDescent="0.25">
      <c r="C9" t="s">
        <v>32</v>
      </c>
    </row>
    <row r="10" spans="1:4" x14ac:dyDescent="0.25">
      <c r="C10" t="s">
        <v>31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G31"/>
  <sheetViews>
    <sheetView workbookViewId="0">
      <selection activeCell="B31" sqref="B31"/>
    </sheetView>
  </sheetViews>
  <sheetFormatPr defaultRowHeight="15" x14ac:dyDescent="0.25"/>
  <sheetData>
    <row r="2" spans="1:2" x14ac:dyDescent="0.25">
      <c r="A2" s="17">
        <v>1</v>
      </c>
      <c r="B2" t="s">
        <v>44</v>
      </c>
    </row>
    <row r="3" spans="1:2" x14ac:dyDescent="0.25">
      <c r="A3" s="17">
        <v>2</v>
      </c>
      <c r="B3" t="s">
        <v>45</v>
      </c>
    </row>
    <row r="4" spans="1:2" x14ac:dyDescent="0.25">
      <c r="A4" s="17">
        <v>3</v>
      </c>
      <c r="B4" t="s">
        <v>46</v>
      </c>
    </row>
    <row r="5" spans="1:2" x14ac:dyDescent="0.25">
      <c r="A5" s="17">
        <v>4</v>
      </c>
      <c r="B5" t="s">
        <v>47</v>
      </c>
    </row>
    <row r="6" spans="1:2" x14ac:dyDescent="0.25">
      <c r="A6" s="17"/>
      <c r="B6" t="s">
        <v>66</v>
      </c>
    </row>
    <row r="7" spans="1:2" x14ac:dyDescent="0.25">
      <c r="A7" s="17"/>
      <c r="B7" t="s">
        <v>67</v>
      </c>
    </row>
    <row r="8" spans="1:2" x14ac:dyDescent="0.25">
      <c r="A8" s="17"/>
      <c r="B8" s="18" t="s">
        <v>68</v>
      </c>
    </row>
    <row r="9" spans="1:2" x14ac:dyDescent="0.25">
      <c r="A9" s="17"/>
      <c r="B9" s="18" t="s">
        <v>69</v>
      </c>
    </row>
    <row r="10" spans="1:2" x14ac:dyDescent="0.25">
      <c r="A10" s="17"/>
      <c r="B10" s="18" t="s">
        <v>70</v>
      </c>
    </row>
    <row r="11" spans="1:2" x14ac:dyDescent="0.25">
      <c r="A11" s="17"/>
      <c r="B11" s="18" t="s">
        <v>71</v>
      </c>
    </row>
    <row r="12" spans="1:2" x14ac:dyDescent="0.25">
      <c r="A12" s="17"/>
    </row>
    <row r="13" spans="1:2" x14ac:dyDescent="0.25">
      <c r="A13" s="17">
        <v>5</v>
      </c>
      <c r="B13" s="8" t="s">
        <v>55</v>
      </c>
    </row>
    <row r="14" spans="1:2" x14ac:dyDescent="0.25">
      <c r="A14" s="17" t="s">
        <v>56</v>
      </c>
      <c r="B14" s="8" t="s">
        <v>61</v>
      </c>
    </row>
    <row r="16" spans="1:2" x14ac:dyDescent="0.25">
      <c r="B16" t="s">
        <v>63</v>
      </c>
    </row>
    <row r="17" spans="1:7" x14ac:dyDescent="0.25">
      <c r="B17" t="s">
        <v>64</v>
      </c>
    </row>
    <row r="18" spans="1:7" x14ac:dyDescent="0.25">
      <c r="B18" t="s">
        <v>65</v>
      </c>
    </row>
    <row r="19" spans="1:7" x14ac:dyDescent="0.25">
      <c r="A19" s="17" t="s">
        <v>62</v>
      </c>
      <c r="B19" s="8" t="s">
        <v>57</v>
      </c>
    </row>
    <row r="20" spans="1:7" x14ac:dyDescent="0.25">
      <c r="A20" s="17"/>
      <c r="B20" t="s">
        <v>58</v>
      </c>
    </row>
    <row r="21" spans="1:7" x14ac:dyDescent="0.25">
      <c r="A21" s="17">
        <v>6</v>
      </c>
      <c r="B21" s="8" t="s">
        <v>48</v>
      </c>
    </row>
    <row r="22" spans="1:7" x14ac:dyDescent="0.25">
      <c r="B22" t="s">
        <v>146</v>
      </c>
    </row>
    <row r="23" spans="1:7" x14ac:dyDescent="0.25">
      <c r="B23" t="s">
        <v>106</v>
      </c>
    </row>
    <row r="24" spans="1:7" x14ac:dyDescent="0.25">
      <c r="B24" t="s">
        <v>93</v>
      </c>
      <c r="C24" t="s">
        <v>92</v>
      </c>
      <c r="G24" t="s">
        <v>151</v>
      </c>
    </row>
    <row r="25" spans="1:7" x14ac:dyDescent="0.25">
      <c r="B25" t="s">
        <v>59</v>
      </c>
      <c r="G25" t="s">
        <v>60</v>
      </c>
    </row>
    <row r="26" spans="1:7" x14ac:dyDescent="0.25">
      <c r="A26" t="s">
        <v>147</v>
      </c>
      <c r="B26" t="s">
        <v>110</v>
      </c>
    </row>
    <row r="27" spans="1:7" x14ac:dyDescent="0.25">
      <c r="A27" t="s">
        <v>111</v>
      </c>
      <c r="B27" t="s">
        <v>148</v>
      </c>
    </row>
    <row r="28" spans="1:7" x14ac:dyDescent="0.25">
      <c r="A28">
        <v>7</v>
      </c>
      <c r="B28" t="s">
        <v>149</v>
      </c>
    </row>
    <row r="29" spans="1:7" x14ac:dyDescent="0.25">
      <c r="B29" t="s">
        <v>150</v>
      </c>
    </row>
    <row r="30" spans="1:7" x14ac:dyDescent="0.25">
      <c r="B30" t="s">
        <v>145</v>
      </c>
    </row>
    <row r="31" spans="1:7" x14ac:dyDescent="0.25">
      <c r="B31" t="s">
        <v>152</v>
      </c>
      <c r="E31" t="s">
        <v>153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H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6.42578125" customWidth="1"/>
    <col min="2" max="2" width="11.85546875" customWidth="1"/>
    <col min="3" max="3" width="28.7109375" customWidth="1"/>
    <col min="4" max="4" width="11.5703125" customWidth="1"/>
    <col min="5" max="5" width="15" customWidth="1"/>
    <col min="6" max="6" width="14.28515625" customWidth="1"/>
    <col min="7" max="7" width="23" customWidth="1"/>
    <col min="8" max="8" width="16.42578125" customWidth="1"/>
  </cols>
  <sheetData>
    <row r="1" spans="1:8" x14ac:dyDescent="0.25">
      <c r="A1" s="8" t="s">
        <v>80</v>
      </c>
      <c r="B1" s="8" t="s">
        <v>81</v>
      </c>
      <c r="C1" s="8" t="s">
        <v>82</v>
      </c>
      <c r="D1" s="8" t="s">
        <v>83</v>
      </c>
      <c r="E1" s="8" t="s">
        <v>134</v>
      </c>
      <c r="F1" s="8" t="s">
        <v>135</v>
      </c>
      <c r="G1" s="8" t="s">
        <v>141</v>
      </c>
      <c r="H1" s="8" t="s">
        <v>142</v>
      </c>
    </row>
    <row r="2" spans="1:8" x14ac:dyDescent="0.25">
      <c r="A2" t="s">
        <v>27</v>
      </c>
      <c r="B2" t="s">
        <v>28</v>
      </c>
      <c r="C2" t="s">
        <v>27</v>
      </c>
      <c r="D2" t="s">
        <v>28</v>
      </c>
      <c r="E2" t="s">
        <v>27</v>
      </c>
      <c r="F2" t="s">
        <v>28</v>
      </c>
      <c r="G2" t="s">
        <v>27</v>
      </c>
      <c r="H2" t="s">
        <v>28</v>
      </c>
    </row>
    <row r="3" spans="1:8" x14ac:dyDescent="0.25">
      <c r="C3" t="s">
        <v>122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T15"/>
  <sheetViews>
    <sheetView workbookViewId="0">
      <pane ySplit="1" topLeftCell="A2" activePane="bottomLeft" state="frozen"/>
      <selection pane="bottomLeft" activeCell="A16" sqref="A16"/>
    </sheetView>
  </sheetViews>
  <sheetFormatPr defaultRowHeight="15" x14ac:dyDescent="0.25"/>
  <cols>
    <col min="1" max="1" width="19.28515625" customWidth="1"/>
    <col min="2" max="2" width="79.140625" customWidth="1"/>
    <col min="3" max="3" width="81" customWidth="1"/>
    <col min="4" max="4" width="77.42578125" customWidth="1"/>
    <col min="5" max="5" width="27.140625" customWidth="1"/>
    <col min="19" max="19" width="3.140625" customWidth="1"/>
  </cols>
  <sheetData>
    <row r="1" spans="1:20" x14ac:dyDescent="0.25">
      <c r="A1" s="8" t="s">
        <v>90</v>
      </c>
      <c r="B1" s="8" t="s">
        <v>85</v>
      </c>
      <c r="C1" s="8" t="s">
        <v>121</v>
      </c>
      <c r="D1" s="8" t="s">
        <v>132</v>
      </c>
      <c r="E1" s="8" t="s">
        <v>143</v>
      </c>
    </row>
    <row r="2" spans="1:20" x14ac:dyDescent="0.25">
      <c r="A2" s="8" t="s">
        <v>89</v>
      </c>
    </row>
    <row r="3" spans="1:20" x14ac:dyDescent="0.25">
      <c r="A3" s="21" t="s">
        <v>15</v>
      </c>
      <c r="B3" s="20" t="s">
        <v>84</v>
      </c>
      <c r="C3" s="20" t="s">
        <v>125</v>
      </c>
      <c r="D3" s="20" t="s">
        <v>84</v>
      </c>
      <c r="E3" s="20" t="s">
        <v>84</v>
      </c>
    </row>
    <row r="4" spans="1:20" x14ac:dyDescent="0.25">
      <c r="A4" s="21" t="s">
        <v>16</v>
      </c>
      <c r="B4" s="20" t="s">
        <v>100</v>
      </c>
      <c r="C4" s="20" t="s">
        <v>124</v>
      </c>
      <c r="D4" s="20" t="s">
        <v>100</v>
      </c>
      <c r="E4" s="20" t="s">
        <v>100</v>
      </c>
      <c r="G4" s="20"/>
    </row>
    <row r="5" spans="1:20" x14ac:dyDescent="0.25">
      <c r="A5" s="21" t="s">
        <v>25</v>
      </c>
      <c r="B5" s="20" t="s">
        <v>87</v>
      </c>
      <c r="C5" s="20" t="s">
        <v>123</v>
      </c>
      <c r="D5" s="20" t="s">
        <v>87</v>
      </c>
      <c r="E5" s="20" t="s">
        <v>87</v>
      </c>
    </row>
    <row r="6" spans="1:20" x14ac:dyDescent="0.25">
      <c r="A6" s="21" t="s">
        <v>24</v>
      </c>
      <c r="B6" s="20" t="s">
        <v>86</v>
      </c>
      <c r="C6" s="20" t="s">
        <v>86</v>
      </c>
      <c r="D6" s="20" t="s">
        <v>86</v>
      </c>
      <c r="E6" s="20" t="s">
        <v>86</v>
      </c>
    </row>
    <row r="7" spans="1:20" x14ac:dyDescent="0.25">
      <c r="A7" s="21" t="s">
        <v>26</v>
      </c>
      <c r="B7" s="20" t="s">
        <v>109</v>
      </c>
      <c r="C7" s="20" t="s">
        <v>109</v>
      </c>
      <c r="D7" s="20" t="s">
        <v>109</v>
      </c>
      <c r="E7" s="20" t="s">
        <v>109</v>
      </c>
    </row>
    <row r="10" spans="1:20" x14ac:dyDescent="0.25">
      <c r="A10" s="8" t="s">
        <v>88</v>
      </c>
    </row>
    <row r="11" spans="1:20" x14ac:dyDescent="0.25">
      <c r="A11" t="s">
        <v>91</v>
      </c>
      <c r="B11" s="20" t="s">
        <v>94</v>
      </c>
      <c r="C11" s="20" t="s">
        <v>126</v>
      </c>
      <c r="D11" s="20" t="s">
        <v>94</v>
      </c>
      <c r="E11" s="20" t="s">
        <v>94</v>
      </c>
    </row>
    <row r="12" spans="1:20" x14ac:dyDescent="0.25">
      <c r="A12" t="s">
        <v>95</v>
      </c>
      <c r="B12" s="20" t="s">
        <v>103</v>
      </c>
      <c r="C12" s="20" t="s">
        <v>127</v>
      </c>
      <c r="D12" s="20" t="s">
        <v>133</v>
      </c>
      <c r="E12" s="20" t="s">
        <v>133</v>
      </c>
    </row>
    <row r="13" spans="1:20" x14ac:dyDescent="0.25">
      <c r="A13" t="s">
        <v>96</v>
      </c>
      <c r="B13" s="20" t="s">
        <v>104</v>
      </c>
      <c r="C13" s="20" t="s">
        <v>128</v>
      </c>
      <c r="D13" s="20" t="s">
        <v>104</v>
      </c>
      <c r="E13" s="20" t="s">
        <v>104</v>
      </c>
    </row>
    <row r="14" spans="1:20" x14ac:dyDescent="0.25">
      <c r="A14" t="s">
        <v>97</v>
      </c>
      <c r="B14" s="20" t="s">
        <v>101</v>
      </c>
      <c r="C14" s="20" t="s">
        <v>129</v>
      </c>
      <c r="D14" s="20" t="s">
        <v>101</v>
      </c>
      <c r="E14" s="20" t="s">
        <v>101</v>
      </c>
      <c r="N14" s="20" t="s">
        <v>98</v>
      </c>
      <c r="T14" s="20" t="s">
        <v>99</v>
      </c>
    </row>
    <row r="15" spans="1:20" x14ac:dyDescent="0.25">
      <c r="A15" t="s">
        <v>155</v>
      </c>
      <c r="E15" s="20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D05A63-E6B6-43A7-A9D8-865E706988A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Процесс</vt:lpstr>
      <vt:lpstr>Справочник</vt:lpstr>
      <vt:lpstr>Set</vt:lpstr>
      <vt:lpstr>help</vt:lpstr>
      <vt:lpstr>StEnd</vt:lpstr>
      <vt:lpstr>DOTstyle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mini</cp:lastModifiedBy>
  <dcterms:created xsi:type="dcterms:W3CDTF">2024-04-01T07:09:11Z</dcterms:created>
  <dcterms:modified xsi:type="dcterms:W3CDTF">2024-04-26T17:00:35Z</dcterms:modified>
</cp:coreProperties>
</file>